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97c3fd83d87b8b/Desktop/Data Analytics/"/>
    </mc:Choice>
  </mc:AlternateContent>
  <xr:revisionPtr revIDLastSave="0" documentId="8_{6A1A6C20-1F0B-4C01-AE92-1A1DC8C87E44}" xr6:coauthVersionLast="47" xr6:coauthVersionMax="47" xr10:uidLastSave="{00000000-0000-0000-0000-000000000000}"/>
  <bookViews>
    <workbookView xWindow="-108" yWindow="-108" windowWidth="23256" windowHeight="12456" xr2:uid="{3BBA0A49-E15D-4E66-956E-97A7D94A9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51" i="1"/>
  <c r="J45" i="1"/>
  <c r="J44" i="1"/>
  <c r="J41" i="1"/>
  <c r="J40" i="1"/>
  <c r="J39" i="1"/>
</calcChain>
</file>

<file path=xl/sharedStrings.xml><?xml version="1.0" encoding="utf-8"?>
<sst xmlns="http://schemas.openxmlformats.org/spreadsheetml/2006/main" count="170" uniqueCount="121">
  <si>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</si>
  <si>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</si>
  <si>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</si>
  <si>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</si>
  <si>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</si>
  <si>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</si>
  <si>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</si>
  <si>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</si>
  <si>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</si>
  <si>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</si>
  <si>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</si>
  <si>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</si>
  <si>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</si>
  <si>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</si>
  <si>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</si>
  <si>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</si>
  <si>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</si>
  <si>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</si>
  <si>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</si>
  <si>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</si>
  <si>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</si>
  <si>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</si>
  <si>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</si>
  <si>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</si>
  <si>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</si>
  <si>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</si>
  <si>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</si>
  <si>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</si>
  <si>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</si>
  <si>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</si>
  <si>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</si>
  <si>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</si>
  <si>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</si>
  <si>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</si>
  <si>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</si>
  <si>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</si>
  <si>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</si>
  <si>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</si>
  <si>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</si>
  <si>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</si>
  <si>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</si>
  <si>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</si>
  <si>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</si>
  <si>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</si>
  <si>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</si>
  <si>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</si>
  <si>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</si>
  <si>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</si>
  <si>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</si>
  <si>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</si>
  <si>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</si>
  <si>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</si>
  <si>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</si>
  <si>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</si>
  <si>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</si>
  <si>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</si>
  <si>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</si>
  <si>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</si>
  <si>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</si>
  <si>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</si>
  <si>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</si>
  <si>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</si>
  <si>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</si>
  <si>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</si>
  <si>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</si>
  <si>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</si>
  <si>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</si>
  <si>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</si>
  <si>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</si>
  <si>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</si>
  <si>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</si>
  <si>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</si>
  <si>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</si>
  <si>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</si>
  <si>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</si>
  <si>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</si>
  <si>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</si>
  <si>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</si>
  <si>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</si>
  <si>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</si>
  <si>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</si>
  <si>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</si>
  <si>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</si>
  <si>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</si>
  <si>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</si>
  <si>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</si>
  <si>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</si>
  <si>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</si>
  <si>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</si>
  <si>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</si>
  <si>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</si>
  <si>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</si>
  <si>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</si>
  <si>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Create a new column named Month by extracting 4th to 6th characters from the 'Product ID' column using the MID function.</t>
  </si>
  <si>
    <t>• Create a new column named Country Code by extracting the last 2 characters from the 'Product ID' column using the RIGHT function.</t>
  </si>
  <si>
    <t>• Create a new column named Day with the first 2 characters of each 'Product ID' using the LEFT function.</t>
  </si>
  <si>
    <t>5) Text Formatting - LEFT, RIGHT, MID:</t>
  </si>
  <si>
    <t>• Determine the count of products with a price less than $100 using the COUNTIF function.</t>
  </si>
  <si>
    <t>• Calculate the total price for products in the 'Electronics' category using the SUMIF function.</t>
  </si>
  <si>
    <t>4) SUMIF and COUNTIF:</t>
  </si>
  <si>
    <t>• Using an IF function, create a new column named Price Range to categorize products with a price greater than or equal to $500 as 'High Price' and others as 'Standard Price'.</t>
  </si>
  <si>
    <t>3) IF Function:</t>
  </si>
  <si>
    <t>• Find the maximum price among all products.</t>
  </si>
  <si>
    <t>• Determine the minimum price among all products.</t>
  </si>
  <si>
    <t>2) Min and Max:</t>
  </si>
  <si>
    <t>• Calculate the average price of the products.</t>
  </si>
  <si>
    <t>• How many products are there in the dataset?</t>
  </si>
  <si>
    <t>• What is the total price of all products in the dataset?</t>
  </si>
  <si>
    <t>1) Sum, Count, Average:</t>
  </si>
  <si>
    <t>Perform the following in the dataset from the 'Dataset' sheet.</t>
  </si>
  <si>
    <t xml:space="preserve">Total Price </t>
  </si>
  <si>
    <t xml:space="preserve">Total Product </t>
  </si>
  <si>
    <t xml:space="preserve">Average Price </t>
  </si>
  <si>
    <t xml:space="preserve">Minimum Price </t>
  </si>
  <si>
    <t>Maximum Price</t>
  </si>
  <si>
    <t xml:space="preserve">Price of Electronics </t>
  </si>
  <si>
    <t>Price less then 100</t>
  </si>
  <si>
    <t xml:space="preserve">High/Std Price </t>
  </si>
  <si>
    <t xml:space="preserve">Left </t>
  </si>
  <si>
    <t>Right</t>
  </si>
  <si>
    <t xml:space="preserve">Mid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</si>
</sst>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4DD0E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0F7F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8B829-5FAC-4133-BB3A-DB6B631CBBA2}" name="Table1" displayName="Table1" ref="A1:J35" totalsRowShown="0" headerRowDxfId="12" dataDxfId="11" tableBorderDxfId="10">
  <autoFilter ref="A1:J35" xr:uid="{B2B8B829-5FAC-4133-BB3A-DB6B631CBBA2}"/>
  <tableColumns count="10">
    <tableColumn id="1" xr3:uid="{F77A2DA5-5D31-40A4-BD6A-A9632EC3F944}" name="Product ID" dataDxfId="9"/>
    <tableColumn id="2" xr3:uid="{981B7A02-822D-46E6-A689-E168D15CF635}" name="Product Name" dataDxfId="8"/>
    <tableColumn id="3" xr3:uid="{1208DFC7-9EF2-4F60-A512-A869B7555BEE}" name="Brand Name" dataDxfId="7"/>
    <tableColumn id="4" xr3:uid="{86DD79D1-322A-4FF6-93A9-261FF59F2831}" name="Price ($)" dataDxfId="6"/>
    <tableColumn id="5" xr3:uid="{278CCC8A-AA3C-4414-A08D-D554AE4471A0}" name="Quantity" dataDxfId="5"/>
    <tableColumn id="6" xr3:uid="{B22C7020-271A-4B83-B723-CAC23BCAFA1F}" name="Category" dataDxfId="4"/>
    <tableColumn id="7" xr3:uid="{48050EBC-CC05-4840-990E-21514EB39031}" name="High/Std Price " dataDxfId="3">
      <calculatedColumnFormula>IF(Table1[[#This Row],[Price ($)]]&gt;=500,"High Price","Std Price")</calculatedColumnFormula>
    </tableColumn>
    <tableColumn id="8" xr3:uid="{7B25897D-4AC4-4EB4-AF31-A1DEA584806E}" name="Left " dataDxfId="2">
      <calculatedColumnFormula>LEFT(Table1[[#This Row],[Product ID]],2)</calculatedColumnFormula>
    </tableColumn>
    <tableColumn id="9" xr3:uid="{B004B208-53EB-4A6C-B757-3C920F0B56AC}" name="Right" dataDxfId="1">
      <calculatedColumnFormula>RIGHT(Table1[[#This Row],[Product ID]],2)</calculatedColumnFormula>
    </tableColumn>
    <tableColumn id="10" xr3:uid="{83F24AE2-CE38-40F3-A5C2-3BA2B6F25988}" name="Mid " dataDxfId="0">
      <calculatedColumnFormula>MID(Table1[[#This Row],[Product ID]],4,3)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035B-656E-4981-AA6D-6ED84788CD08}">
  <dimension ref="A1:L58"/>
  <sheetViews>
    <sheetView tabSelected="1" topLeftCell="A25" workbookViewId="0">
      <selection activeCell="K41" sqref="K41"/>
    </sheetView>
  </sheetViews>
  <sheetFormatPr defaultRowHeight="14.4" x14ac:dyDescent="0.3"/>
  <cols>
    <col min="1" max="1" width="16.5546875" customWidth="1"/>
    <col min="2" max="2" width="18.44140625" customWidth="1"/>
    <col min="3" max="3" width="16" customWidth="1"/>
    <col min="4" max="4" width="12" customWidth="1"/>
    <col min="5" max="5" width="12.88671875" customWidth="1"/>
    <col min="6" max="6" width="15.6640625" customWidth="1"/>
    <col min="7" max="7" width="18.6640625" bestFit="1" customWidth="1"/>
    <col min="9" max="9" width="14.33203125" bestFit="1" customWidth="1"/>
    <col min="11" max="11" width="17.2187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117</v>
      </c>
      <c r="H1" s="10" t="s">
        <v>118</v>
      </c>
      <c r="I1" s="10" t="s">
        <v>119</v>
      </c>
      <c r="J1" s="10" t="s">
        <v>120</v>
      </c>
    </row>
    <row r="2" spans="1:10" x14ac:dyDescent="0.3">
      <c r="A2" s="11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8" t="str">
        <f>IF(Table1[[#This Row],[Price ($)]]&gt;=500,"High Price","Std Price")</f>
        <v>High Price</v>
      </c>
      <c r="H2" s="8" t="str">
        <f>LEFT(Table1[[#This Row],[Product ID]],2)</f>
        <v>28</v>
      </c>
      <c r="I2" s="8" t="str">
        <f>RIGHT(Table1[[#This Row],[Product ID]],2)</f>
        <v>US</v>
      </c>
      <c r="J2" s="12" t="str">
        <f>MID(Table1[[#This Row],[Product ID]],4,3)</f>
        <v>JAN</v>
      </c>
    </row>
    <row r="3" spans="1:10" x14ac:dyDescent="0.3">
      <c r="A3" s="13" t="s">
        <v>10</v>
      </c>
      <c r="B3" s="7" t="s">
        <v>11</v>
      </c>
      <c r="C3" s="7" t="s">
        <v>12</v>
      </c>
      <c r="D3" s="7">
        <v>80</v>
      </c>
      <c r="E3" s="7">
        <v>15</v>
      </c>
      <c r="F3" s="7" t="s">
        <v>13</v>
      </c>
      <c r="G3" s="8" t="str">
        <f>IF(Table1[[#This Row],[Price ($)]]&gt;=500,"High Price","Std Price")</f>
        <v>Std Price</v>
      </c>
      <c r="H3" s="8" t="str">
        <f>LEFT(Table1[[#This Row],[Product ID]],2)</f>
        <v>15</v>
      </c>
      <c r="I3" s="8" t="str">
        <f>RIGHT(Table1[[#This Row],[Product ID]],2)</f>
        <v>US</v>
      </c>
      <c r="J3" s="12" t="str">
        <f>MID(Table1[[#This Row],[Product ID]],4,3)</f>
        <v>FEB</v>
      </c>
    </row>
    <row r="4" spans="1:10" x14ac:dyDescent="0.3">
      <c r="A4" s="11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8" t="str">
        <f>IF(Table1[[#This Row],[Price ($)]]&gt;=500,"High Price","Std Price")</f>
        <v>Std Price</v>
      </c>
      <c r="H4" s="8" t="str">
        <f>LEFT(Table1[[#This Row],[Product ID]],2)</f>
        <v>03</v>
      </c>
      <c r="I4" s="8" t="str">
        <f>RIGHT(Table1[[#This Row],[Product ID]],2)</f>
        <v>US</v>
      </c>
      <c r="J4" s="12" t="str">
        <f>MID(Table1[[#This Row],[Product ID]],4,3)</f>
        <v>MAR</v>
      </c>
    </row>
    <row r="5" spans="1:10" x14ac:dyDescent="0.3">
      <c r="A5" s="13" t="s">
        <v>18</v>
      </c>
      <c r="B5" s="7" t="s">
        <v>19</v>
      </c>
      <c r="C5" s="7" t="s">
        <v>20</v>
      </c>
      <c r="D5" s="7">
        <v>900</v>
      </c>
      <c r="E5" s="7">
        <v>25</v>
      </c>
      <c r="F5" s="7" t="s">
        <v>9</v>
      </c>
      <c r="G5" s="8" t="str">
        <f>IF(Table1[[#This Row],[Price ($)]]&gt;=500,"High Price","Std Price")</f>
        <v>High Price</v>
      </c>
      <c r="H5" s="8" t="str">
        <f>LEFT(Table1[[#This Row],[Product ID]],2)</f>
        <v>11</v>
      </c>
      <c r="I5" s="8" t="str">
        <f>RIGHT(Table1[[#This Row],[Product ID]],2)</f>
        <v>US</v>
      </c>
      <c r="J5" s="12" t="str">
        <f>MID(Table1[[#This Row],[Product ID]],4,3)</f>
        <v>APR</v>
      </c>
    </row>
    <row r="6" spans="1:10" x14ac:dyDescent="0.3">
      <c r="A6" s="11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8" t="str">
        <f>IF(Table1[[#This Row],[Price ($)]]&gt;=500,"High Price","Std Price")</f>
        <v>Std Price</v>
      </c>
      <c r="H6" s="8" t="str">
        <f>LEFT(Table1[[#This Row],[Product ID]],2)</f>
        <v>22</v>
      </c>
      <c r="I6" s="8" t="str">
        <f>RIGHT(Table1[[#This Row],[Product ID]],2)</f>
        <v>US</v>
      </c>
      <c r="J6" s="12" t="str">
        <f>MID(Table1[[#This Row],[Product ID]],4,3)</f>
        <v>MAY</v>
      </c>
    </row>
    <row r="7" spans="1:10" x14ac:dyDescent="0.3">
      <c r="A7" s="13" t="s">
        <v>25</v>
      </c>
      <c r="B7" s="7" t="s">
        <v>26</v>
      </c>
      <c r="C7" s="7" t="s">
        <v>27</v>
      </c>
      <c r="D7" s="7">
        <v>200</v>
      </c>
      <c r="E7" s="7">
        <v>45</v>
      </c>
      <c r="F7" s="7" t="s">
        <v>9</v>
      </c>
      <c r="G7" s="8" t="str">
        <f>IF(Table1[[#This Row],[Price ($)]]&gt;=500,"High Price","Std Price")</f>
        <v>Std Price</v>
      </c>
      <c r="H7" s="8" t="str">
        <f>LEFT(Table1[[#This Row],[Product ID]],2)</f>
        <v>07</v>
      </c>
      <c r="I7" s="8" t="str">
        <f>RIGHT(Table1[[#This Row],[Product ID]],2)</f>
        <v>UK</v>
      </c>
      <c r="J7" s="12" t="str">
        <f>MID(Table1[[#This Row],[Product ID]],4,3)</f>
        <v>JUN</v>
      </c>
    </row>
    <row r="8" spans="1:10" x14ac:dyDescent="0.3">
      <c r="A8" s="11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8" t="str">
        <f>IF(Table1[[#This Row],[Price ($)]]&gt;=500,"High Price","Std Price")</f>
        <v>Std Price</v>
      </c>
      <c r="H8" s="8" t="str">
        <f>LEFT(Table1[[#This Row],[Product ID]],2)</f>
        <v>19</v>
      </c>
      <c r="I8" s="8" t="str">
        <f>RIGHT(Table1[[#This Row],[Product ID]],2)</f>
        <v>UK</v>
      </c>
      <c r="J8" s="12" t="str">
        <f>MID(Table1[[#This Row],[Product ID]],4,3)</f>
        <v>JUL</v>
      </c>
    </row>
    <row r="9" spans="1:10" x14ac:dyDescent="0.3">
      <c r="A9" s="13" t="s">
        <v>31</v>
      </c>
      <c r="B9" s="7" t="s">
        <v>32</v>
      </c>
      <c r="C9" s="7" t="s">
        <v>33</v>
      </c>
      <c r="D9" s="7">
        <v>90</v>
      </c>
      <c r="E9" s="7">
        <v>35</v>
      </c>
      <c r="F9" s="7" t="s">
        <v>17</v>
      </c>
      <c r="G9" s="8" t="str">
        <f>IF(Table1[[#This Row],[Price ($)]]&gt;=500,"High Price","Std Price")</f>
        <v>Std Price</v>
      </c>
      <c r="H9" s="8" t="str">
        <f>LEFT(Table1[[#This Row],[Product ID]],2)</f>
        <v>23</v>
      </c>
      <c r="I9" s="8" t="str">
        <f>RIGHT(Table1[[#This Row],[Product ID]],2)</f>
        <v>UK</v>
      </c>
      <c r="J9" s="12" t="str">
        <f>MID(Table1[[#This Row],[Product ID]],4,3)</f>
        <v>AUG</v>
      </c>
    </row>
    <row r="10" spans="1:10" x14ac:dyDescent="0.3">
      <c r="A10" s="11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8" t="str">
        <f>IF(Table1[[#This Row],[Price ($)]]&gt;=500,"High Price","Std Price")</f>
        <v>High Price</v>
      </c>
      <c r="H10" s="8" t="str">
        <f>LEFT(Table1[[#This Row],[Product ID]],2)</f>
        <v>05</v>
      </c>
      <c r="I10" s="8" t="str">
        <f>RIGHT(Table1[[#This Row],[Product ID]],2)</f>
        <v>UK</v>
      </c>
      <c r="J10" s="12" t="str">
        <f>MID(Table1[[#This Row],[Product ID]],4,3)</f>
        <v>SEP</v>
      </c>
    </row>
    <row r="11" spans="1:10" x14ac:dyDescent="0.3">
      <c r="A11" s="13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7" t="s">
        <v>24</v>
      </c>
      <c r="G11" s="8" t="str">
        <f>IF(Table1[[#This Row],[Price ($)]]&gt;=500,"High Price","Std Price")</f>
        <v>Std Price</v>
      </c>
      <c r="H11" s="8" t="str">
        <f>LEFT(Table1[[#This Row],[Product ID]],2)</f>
        <v>14</v>
      </c>
      <c r="I11" s="8" t="str">
        <f>RIGHT(Table1[[#This Row],[Product ID]],2)</f>
        <v>UK</v>
      </c>
      <c r="J11" s="12" t="str">
        <f>MID(Table1[[#This Row],[Product ID]],4,3)</f>
        <v>OCT</v>
      </c>
    </row>
    <row r="12" spans="1:10" x14ac:dyDescent="0.3">
      <c r="A12" s="11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8" t="str">
        <f>IF(Table1[[#This Row],[Price ($)]]&gt;=500,"High Price","Std Price")</f>
        <v>High Price</v>
      </c>
      <c r="H12" s="8" t="str">
        <f>LEFT(Table1[[#This Row],[Product ID]],2)</f>
        <v>17</v>
      </c>
      <c r="I12" s="8" t="str">
        <f>RIGHT(Table1[[#This Row],[Product ID]],2)</f>
        <v>IN</v>
      </c>
      <c r="J12" s="12" t="str">
        <f>MID(Table1[[#This Row],[Product ID]],4,3)</f>
        <v>JUN</v>
      </c>
    </row>
    <row r="13" spans="1:10" x14ac:dyDescent="0.3">
      <c r="A13" s="13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7" t="s">
        <v>13</v>
      </c>
      <c r="G13" s="8" t="str">
        <f>IF(Table1[[#This Row],[Price ($)]]&gt;=500,"High Price","Std Price")</f>
        <v>Std Price</v>
      </c>
      <c r="H13" s="8" t="str">
        <f>LEFT(Table1[[#This Row],[Product ID]],2)</f>
        <v>25</v>
      </c>
      <c r="I13" s="8" t="str">
        <f>RIGHT(Table1[[#This Row],[Product ID]],2)</f>
        <v>AU</v>
      </c>
      <c r="J13" s="12" t="str">
        <f>MID(Table1[[#This Row],[Product ID]],4,3)</f>
        <v>NOV</v>
      </c>
    </row>
    <row r="14" spans="1:10" x14ac:dyDescent="0.3">
      <c r="A14" s="11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8" t="str">
        <f>IF(Table1[[#This Row],[Price ($)]]&gt;=500,"High Price","Std Price")</f>
        <v>Std Price</v>
      </c>
      <c r="H14" s="8" t="str">
        <f>LEFT(Table1[[#This Row],[Product ID]],2)</f>
        <v>08</v>
      </c>
      <c r="I14" s="8" t="str">
        <f>RIGHT(Table1[[#This Row],[Product ID]],2)</f>
        <v>DE</v>
      </c>
      <c r="J14" s="12" t="str">
        <f>MID(Table1[[#This Row],[Product ID]],4,3)</f>
        <v>DEC</v>
      </c>
    </row>
    <row r="15" spans="1:10" x14ac:dyDescent="0.3">
      <c r="A15" s="13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7" t="s">
        <v>9</v>
      </c>
      <c r="G15" s="8" t="str">
        <f>IF(Table1[[#This Row],[Price ($)]]&gt;=500,"High Price","Std Price")</f>
        <v>Std Price</v>
      </c>
      <c r="H15" s="8" t="str">
        <f>LEFT(Table1[[#This Row],[Product ID]],2)</f>
        <v>18</v>
      </c>
      <c r="I15" s="8" t="str">
        <f>RIGHT(Table1[[#This Row],[Product ID]],2)</f>
        <v>CA</v>
      </c>
      <c r="J15" s="12" t="str">
        <f>MID(Table1[[#This Row],[Product ID]],4,3)</f>
        <v>FEB</v>
      </c>
    </row>
    <row r="16" spans="1:10" x14ac:dyDescent="0.3">
      <c r="A16" s="11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8" t="str">
        <f>IF(Table1[[#This Row],[Price ($)]]&gt;=500,"High Price","Std Price")</f>
        <v>Std Price</v>
      </c>
      <c r="H16" s="8" t="str">
        <f>LEFT(Table1[[#This Row],[Product ID]],2)</f>
        <v>16</v>
      </c>
      <c r="I16" s="8" t="str">
        <f>RIGHT(Table1[[#This Row],[Product ID]],2)</f>
        <v>ES</v>
      </c>
      <c r="J16" s="12" t="str">
        <f>MID(Table1[[#This Row],[Product ID]],4,3)</f>
        <v>APR</v>
      </c>
    </row>
    <row r="17" spans="1:10" x14ac:dyDescent="0.3">
      <c r="A17" s="13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7" t="s">
        <v>53</v>
      </c>
      <c r="G17" s="8" t="str">
        <f>IF(Table1[[#This Row],[Price ($)]]&gt;=500,"High Price","Std Price")</f>
        <v>Std Price</v>
      </c>
      <c r="H17" s="8" t="str">
        <f>LEFT(Table1[[#This Row],[Product ID]],2)</f>
        <v>21</v>
      </c>
      <c r="I17" s="8" t="str">
        <f>RIGHT(Table1[[#This Row],[Product ID]],2)</f>
        <v>CA</v>
      </c>
      <c r="J17" s="12" t="str">
        <f>MID(Table1[[#This Row],[Product ID]],4,3)</f>
        <v>AUG</v>
      </c>
    </row>
    <row r="18" spans="1:10" x14ac:dyDescent="0.3">
      <c r="A18" s="11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8" t="str">
        <f>IF(Table1[[#This Row],[Price ($)]]&gt;=500,"High Price","Std Price")</f>
        <v>Std Price</v>
      </c>
      <c r="H18" s="8" t="str">
        <f>LEFT(Table1[[#This Row],[Product ID]],2)</f>
        <v>20</v>
      </c>
      <c r="I18" s="8" t="str">
        <f>RIGHT(Table1[[#This Row],[Product ID]],2)</f>
        <v>CN</v>
      </c>
      <c r="J18" s="12" t="str">
        <f>MID(Table1[[#This Row],[Product ID]],4,3)</f>
        <v>AUG</v>
      </c>
    </row>
    <row r="19" spans="1:10" x14ac:dyDescent="0.3">
      <c r="A19" s="13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7" t="s">
        <v>9</v>
      </c>
      <c r="G19" s="8" t="str">
        <f>IF(Table1[[#This Row],[Price ($)]]&gt;=500,"High Price","Std Price")</f>
        <v>High Price</v>
      </c>
      <c r="H19" s="8" t="str">
        <f>LEFT(Table1[[#This Row],[Product ID]],2)</f>
        <v>27</v>
      </c>
      <c r="I19" s="8" t="str">
        <f>RIGHT(Table1[[#This Row],[Product ID]],2)</f>
        <v>IT</v>
      </c>
      <c r="J19" s="12" t="str">
        <f>MID(Table1[[#This Row],[Product ID]],4,3)</f>
        <v>JAN</v>
      </c>
    </row>
    <row r="20" spans="1:10" x14ac:dyDescent="0.3">
      <c r="A20" s="11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8" t="str">
        <f>IF(Table1[[#This Row],[Price ($)]]&gt;=500,"High Price","Std Price")</f>
        <v>Std Price</v>
      </c>
      <c r="H20" s="8" t="str">
        <f>LEFT(Table1[[#This Row],[Product ID]],2)</f>
        <v>01</v>
      </c>
      <c r="I20" s="8" t="str">
        <f>RIGHT(Table1[[#This Row],[Product ID]],2)</f>
        <v>UK</v>
      </c>
      <c r="J20" s="12" t="str">
        <f>MID(Table1[[#This Row],[Product ID]],4,3)</f>
        <v>MAR</v>
      </c>
    </row>
    <row r="21" spans="1:10" x14ac:dyDescent="0.3">
      <c r="A21" s="13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7" t="s">
        <v>24</v>
      </c>
      <c r="G21" s="8" t="str">
        <f>IF(Table1[[#This Row],[Price ($)]]&gt;=500,"High Price","Std Price")</f>
        <v>Std Price</v>
      </c>
      <c r="H21" s="8" t="str">
        <f>LEFT(Table1[[#This Row],[Product ID]],2)</f>
        <v>14</v>
      </c>
      <c r="I21" s="8" t="str">
        <f>RIGHT(Table1[[#This Row],[Product ID]],2)</f>
        <v>US</v>
      </c>
      <c r="J21" s="12" t="str">
        <f>MID(Table1[[#This Row],[Product ID]],4,3)</f>
        <v>AUG</v>
      </c>
    </row>
    <row r="22" spans="1:10" x14ac:dyDescent="0.3">
      <c r="A22" s="11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8" t="str">
        <f>IF(Table1[[#This Row],[Price ($)]]&gt;=500,"High Price","Std Price")</f>
        <v>High Price</v>
      </c>
      <c r="H22" s="8" t="str">
        <f>LEFT(Table1[[#This Row],[Product ID]],2)</f>
        <v>14</v>
      </c>
      <c r="I22" s="8" t="str">
        <f>RIGHT(Table1[[#This Row],[Product ID]],2)</f>
        <v>RU</v>
      </c>
      <c r="J22" s="12" t="str">
        <f>MID(Table1[[#This Row],[Product ID]],4,3)</f>
        <v>MAY</v>
      </c>
    </row>
    <row r="23" spans="1:10" x14ac:dyDescent="0.3">
      <c r="A23" s="13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7" t="s">
        <v>17</v>
      </c>
      <c r="G23" s="8" t="str">
        <f>IF(Table1[[#This Row],[Price ($)]]&gt;=500,"High Price","Std Price")</f>
        <v>Std Price</v>
      </c>
      <c r="H23" s="8" t="str">
        <f>LEFT(Table1[[#This Row],[Product ID]],2)</f>
        <v>09</v>
      </c>
      <c r="I23" s="8" t="str">
        <f>RIGHT(Table1[[#This Row],[Product ID]],2)</f>
        <v>CA</v>
      </c>
      <c r="J23" s="12" t="str">
        <f>MID(Table1[[#This Row],[Product ID]],4,3)</f>
        <v>JAN</v>
      </c>
    </row>
    <row r="24" spans="1:10" x14ac:dyDescent="0.3">
      <c r="A24" s="11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8" t="str">
        <f>IF(Table1[[#This Row],[Price ($)]]&gt;=500,"High Price","Std Price")</f>
        <v>Std Price</v>
      </c>
      <c r="H24" s="8" t="str">
        <f>LEFT(Table1[[#This Row],[Product ID]],2)</f>
        <v>19</v>
      </c>
      <c r="I24" s="8" t="str">
        <f>RIGHT(Table1[[#This Row],[Product ID]],2)</f>
        <v>BR</v>
      </c>
      <c r="J24" s="12" t="str">
        <f>MID(Table1[[#This Row],[Product ID]],4,3)</f>
        <v>JUL</v>
      </c>
    </row>
    <row r="25" spans="1:10" x14ac:dyDescent="0.3">
      <c r="A25" s="13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7" t="s">
        <v>53</v>
      </c>
      <c r="G25" s="8" t="str">
        <f>IF(Table1[[#This Row],[Price ($)]]&gt;=500,"High Price","Std Price")</f>
        <v>Std Price</v>
      </c>
      <c r="H25" s="8" t="str">
        <f>LEFT(Table1[[#This Row],[Product ID]],2)</f>
        <v>21</v>
      </c>
      <c r="I25" s="8" t="str">
        <f>RIGHT(Table1[[#This Row],[Product ID]],2)</f>
        <v>CA</v>
      </c>
      <c r="J25" s="12" t="str">
        <f>MID(Table1[[#This Row],[Product ID]],4,3)</f>
        <v>AUG</v>
      </c>
    </row>
    <row r="26" spans="1:10" x14ac:dyDescent="0.3">
      <c r="A26" s="11" t="s">
        <v>73</v>
      </c>
      <c r="B26" s="6" t="s">
        <v>19</v>
      </c>
      <c r="C26" s="6" t="s">
        <v>74</v>
      </c>
      <c r="D26" s="6">
        <v>800</v>
      </c>
      <c r="E26" s="6">
        <v>45</v>
      </c>
      <c r="F26" s="6" t="s">
        <v>9</v>
      </c>
      <c r="G26" s="8" t="str">
        <f>IF(Table1[[#This Row],[Price ($)]]&gt;=500,"High Price","Std Price")</f>
        <v>High Price</v>
      </c>
      <c r="H26" s="8" t="str">
        <f>LEFT(Table1[[#This Row],[Product ID]],2)</f>
        <v>29</v>
      </c>
      <c r="I26" s="8" t="str">
        <f>RIGHT(Table1[[#This Row],[Product ID]],2)</f>
        <v>CA</v>
      </c>
      <c r="J26" s="12" t="str">
        <f>MID(Table1[[#This Row],[Product ID]],4,3)</f>
        <v>SEP</v>
      </c>
    </row>
    <row r="27" spans="1:10" x14ac:dyDescent="0.3">
      <c r="A27" s="13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7" t="s">
        <v>13</v>
      </c>
      <c r="G27" s="8" t="str">
        <f>IF(Table1[[#This Row],[Price ($)]]&gt;=500,"High Price","Std Price")</f>
        <v>Std Price</v>
      </c>
      <c r="H27" s="8" t="str">
        <f>LEFT(Table1[[#This Row],[Product ID]],2)</f>
        <v>03</v>
      </c>
      <c r="I27" s="8" t="str">
        <f>RIGHT(Table1[[#This Row],[Product ID]],2)</f>
        <v>CA</v>
      </c>
      <c r="J27" s="12" t="str">
        <f>MID(Table1[[#This Row],[Product ID]],4,3)</f>
        <v>JUN</v>
      </c>
    </row>
    <row r="28" spans="1:10" x14ac:dyDescent="0.3">
      <c r="A28" s="11" t="s">
        <v>77</v>
      </c>
      <c r="B28" s="6" t="s">
        <v>32</v>
      </c>
      <c r="C28" s="6" t="s">
        <v>78</v>
      </c>
      <c r="D28" s="6">
        <v>400</v>
      </c>
      <c r="E28" s="6">
        <v>40</v>
      </c>
      <c r="F28" s="6" t="s">
        <v>17</v>
      </c>
      <c r="G28" s="8" t="str">
        <f>IF(Table1[[#This Row],[Price ($)]]&gt;=500,"High Price","Std Price")</f>
        <v>Std Price</v>
      </c>
      <c r="H28" s="8" t="str">
        <f>LEFT(Table1[[#This Row],[Product ID]],2)</f>
        <v>11</v>
      </c>
      <c r="I28" s="8" t="str">
        <f>RIGHT(Table1[[#This Row],[Product ID]],2)</f>
        <v>CA</v>
      </c>
      <c r="J28" s="12" t="str">
        <f>MID(Table1[[#This Row],[Product ID]],4,3)</f>
        <v>JUL</v>
      </c>
    </row>
    <row r="29" spans="1:10" x14ac:dyDescent="0.3">
      <c r="A29" s="13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7" t="s">
        <v>9</v>
      </c>
      <c r="G29" s="8" t="str">
        <f>IF(Table1[[#This Row],[Price ($)]]&gt;=500,"High Price","Std Price")</f>
        <v>Std Price</v>
      </c>
      <c r="H29" s="8" t="str">
        <f>LEFT(Table1[[#This Row],[Product ID]],2)</f>
        <v>16</v>
      </c>
      <c r="I29" s="8" t="str">
        <f>RIGHT(Table1[[#This Row],[Product ID]],2)</f>
        <v>ES</v>
      </c>
      <c r="J29" s="12" t="str">
        <f>MID(Table1[[#This Row],[Product ID]],4,3)</f>
        <v>APR</v>
      </c>
    </row>
    <row r="30" spans="1:10" x14ac:dyDescent="0.3">
      <c r="A30" s="11" t="s">
        <v>79</v>
      </c>
      <c r="B30" s="6" t="s">
        <v>80</v>
      </c>
      <c r="C30" s="6" t="s">
        <v>81</v>
      </c>
      <c r="D30" s="6">
        <v>60</v>
      </c>
      <c r="E30" s="6">
        <v>30</v>
      </c>
      <c r="F30" s="6" t="s">
        <v>13</v>
      </c>
      <c r="G30" s="8" t="str">
        <f>IF(Table1[[#This Row],[Price ($)]]&gt;=500,"High Price","Std Price")</f>
        <v>Std Price</v>
      </c>
      <c r="H30" s="8" t="str">
        <f>LEFT(Table1[[#This Row],[Product ID]],2)</f>
        <v>07</v>
      </c>
      <c r="I30" s="8" t="str">
        <f>RIGHT(Table1[[#This Row],[Product ID]],2)</f>
        <v>CA</v>
      </c>
      <c r="J30" s="12" t="str">
        <f>MID(Table1[[#This Row],[Product ID]],4,3)</f>
        <v>MAR</v>
      </c>
    </row>
    <row r="31" spans="1:10" x14ac:dyDescent="0.3">
      <c r="A31" s="13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7" t="s">
        <v>17</v>
      </c>
      <c r="G31" s="8" t="str">
        <f>IF(Table1[[#This Row],[Price ($)]]&gt;=500,"High Price","Std Price")</f>
        <v>Std Price</v>
      </c>
      <c r="H31" s="8" t="str">
        <f>LEFT(Table1[[#This Row],[Product ID]],2)</f>
        <v>13</v>
      </c>
      <c r="I31" s="8" t="str">
        <f>RIGHT(Table1[[#This Row],[Product ID]],2)</f>
        <v>CA</v>
      </c>
      <c r="J31" s="12" t="str">
        <f>MID(Table1[[#This Row],[Product ID]],4,3)</f>
        <v>APR</v>
      </c>
    </row>
    <row r="32" spans="1:10" x14ac:dyDescent="0.3">
      <c r="A32" s="11" t="s">
        <v>85</v>
      </c>
      <c r="B32" s="6" t="s">
        <v>71</v>
      </c>
      <c r="C32" s="6" t="s">
        <v>86</v>
      </c>
      <c r="D32" s="6">
        <v>130</v>
      </c>
      <c r="E32" s="6">
        <v>5</v>
      </c>
      <c r="F32" s="6" t="s">
        <v>9</v>
      </c>
      <c r="G32" s="8" t="str">
        <f>IF(Table1[[#This Row],[Price ($)]]&gt;=500,"High Price","Std Price")</f>
        <v>Std Price</v>
      </c>
      <c r="H32" s="8" t="str">
        <f>LEFT(Table1[[#This Row],[Product ID]],2)</f>
        <v>24</v>
      </c>
      <c r="I32" s="8" t="str">
        <f>RIGHT(Table1[[#This Row],[Product ID]],2)</f>
        <v>CA</v>
      </c>
      <c r="J32" s="12" t="str">
        <f>MID(Table1[[#This Row],[Product ID]],4,3)</f>
        <v>MAY</v>
      </c>
    </row>
    <row r="33" spans="1:10" x14ac:dyDescent="0.3">
      <c r="A33" s="13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7" t="s">
        <v>13</v>
      </c>
      <c r="G33" s="8" t="str">
        <f>IF(Table1[[#This Row],[Price ($)]]&gt;=500,"High Price","Std Price")</f>
        <v>Std Price</v>
      </c>
      <c r="H33" s="8" t="str">
        <f>LEFT(Table1[[#This Row],[Product ID]],2)</f>
        <v>02</v>
      </c>
      <c r="I33" s="8" t="str">
        <f>RIGHT(Table1[[#This Row],[Product ID]],2)</f>
        <v>CA</v>
      </c>
      <c r="J33" s="12" t="str">
        <f>MID(Table1[[#This Row],[Product ID]],4,3)</f>
        <v>DEC</v>
      </c>
    </row>
    <row r="34" spans="1:10" x14ac:dyDescent="0.3">
      <c r="A34" s="11" t="s">
        <v>40</v>
      </c>
      <c r="B34" s="6" t="s">
        <v>7</v>
      </c>
      <c r="C34" s="6" t="s">
        <v>41</v>
      </c>
      <c r="D34" s="6">
        <v>950</v>
      </c>
      <c r="E34" s="6">
        <v>25</v>
      </c>
      <c r="F34" s="6" t="s">
        <v>9</v>
      </c>
      <c r="G34" s="8" t="str">
        <f>IF(Table1[[#This Row],[Price ($)]]&gt;=500,"High Price","Std Price")</f>
        <v>High Price</v>
      </c>
      <c r="H34" s="8" t="str">
        <f>LEFT(Table1[[#This Row],[Product ID]],2)</f>
        <v>17</v>
      </c>
      <c r="I34" s="8" t="str">
        <f>RIGHT(Table1[[#This Row],[Product ID]],2)</f>
        <v>IN</v>
      </c>
      <c r="J34" s="12" t="str">
        <f>MID(Table1[[#This Row],[Product ID]],4,3)</f>
        <v>JUN</v>
      </c>
    </row>
    <row r="35" spans="1:10" x14ac:dyDescent="0.3">
      <c r="A35" s="14" t="s">
        <v>90</v>
      </c>
      <c r="B35" s="15" t="s">
        <v>91</v>
      </c>
      <c r="C35" s="15" t="s">
        <v>92</v>
      </c>
      <c r="D35" s="15">
        <v>100</v>
      </c>
      <c r="E35" s="15">
        <v>20</v>
      </c>
      <c r="F35" s="15" t="s">
        <v>53</v>
      </c>
      <c r="G35" s="16" t="str">
        <f>IF(Table1[[#This Row],[Price ($)]]&gt;=500,"High Price","Std Price")</f>
        <v>Std Price</v>
      </c>
      <c r="H35" s="16" t="str">
        <f>LEFT(Table1[[#This Row],[Product ID]],2)</f>
        <v>09</v>
      </c>
      <c r="I35" s="16" t="str">
        <f>RIGHT(Table1[[#This Row],[Product ID]],2)</f>
        <v>FR</v>
      </c>
      <c r="J35" s="17" t="str">
        <f>MID(Table1[[#This Row],[Product ID]],4,3)</f>
        <v>JUL</v>
      </c>
    </row>
    <row r="36" spans="1:10" x14ac:dyDescent="0.3">
      <c r="A36" s="4" t="s">
        <v>109</v>
      </c>
    </row>
    <row r="38" spans="1:10" ht="15.6" x14ac:dyDescent="0.3">
      <c r="B38" s="3" t="s">
        <v>108</v>
      </c>
    </row>
    <row r="39" spans="1:10" ht="15.6" x14ac:dyDescent="0.3">
      <c r="B39" s="3"/>
      <c r="C39" s="2" t="s">
        <v>107</v>
      </c>
      <c r="I39" s="5" t="s">
        <v>110</v>
      </c>
      <c r="J39">
        <f>SUM(Table1[Price ($)])</f>
        <v>10100</v>
      </c>
    </row>
    <row r="40" spans="1:10" ht="15.6" x14ac:dyDescent="0.3">
      <c r="B40" s="3"/>
      <c r="C40" s="2" t="s">
        <v>106</v>
      </c>
      <c r="I40" s="5" t="s">
        <v>111</v>
      </c>
      <c r="J40">
        <f>COUNTA(Table1[Product Name])</f>
        <v>34</v>
      </c>
    </row>
    <row r="41" spans="1:10" ht="15.6" x14ac:dyDescent="0.3">
      <c r="B41" s="3"/>
      <c r="C41" s="2" t="s">
        <v>105</v>
      </c>
      <c r="I41" s="5" t="s">
        <v>112</v>
      </c>
      <c r="J41">
        <f>AVERAGE(Table1[Price ($)])</f>
        <v>297.05882352941177</v>
      </c>
    </row>
    <row r="42" spans="1:10" x14ac:dyDescent="0.3">
      <c r="B42" s="1"/>
    </row>
    <row r="43" spans="1:10" ht="15.6" x14ac:dyDescent="0.3">
      <c r="B43" s="3" t="s">
        <v>104</v>
      </c>
    </row>
    <row r="44" spans="1:10" ht="15.6" x14ac:dyDescent="0.3">
      <c r="C44" s="2" t="s">
        <v>103</v>
      </c>
      <c r="I44" s="5" t="s">
        <v>113</v>
      </c>
      <c r="J44">
        <f>MIN(Table1[Price ($)])</f>
        <v>30</v>
      </c>
    </row>
    <row r="45" spans="1:10" ht="15.6" x14ac:dyDescent="0.3">
      <c r="C45" s="2" t="s">
        <v>102</v>
      </c>
      <c r="I45" s="5" t="s">
        <v>114</v>
      </c>
      <c r="J45">
        <f>MAX(Table1[Price ($)])</f>
        <v>1000</v>
      </c>
    </row>
    <row r="46" spans="1:10" x14ac:dyDescent="0.3">
      <c r="B46" s="1"/>
    </row>
    <row r="47" spans="1:10" ht="15.6" x14ac:dyDescent="0.3">
      <c r="B47" s="3" t="s">
        <v>101</v>
      </c>
    </row>
    <row r="48" spans="1:10" ht="15.6" x14ac:dyDescent="0.3">
      <c r="C48" s="2" t="s">
        <v>100</v>
      </c>
    </row>
    <row r="49" spans="2:12" x14ac:dyDescent="0.3">
      <c r="B49" s="1"/>
    </row>
    <row r="50" spans="2:12" ht="15.6" x14ac:dyDescent="0.3">
      <c r="B50" s="3" t="s">
        <v>99</v>
      </c>
    </row>
    <row r="51" spans="2:12" ht="15.6" x14ac:dyDescent="0.3">
      <c r="C51" s="2" t="s">
        <v>98</v>
      </c>
      <c r="K51" s="5" t="s">
        <v>115</v>
      </c>
      <c r="L51">
        <f>SUMIF(Table1[Category],F2,Table1[Price ($)])</f>
        <v>8050</v>
      </c>
    </row>
    <row r="52" spans="2:12" ht="15.6" x14ac:dyDescent="0.3">
      <c r="C52" s="2" t="s">
        <v>97</v>
      </c>
      <c r="K52" s="5" t="s">
        <v>116</v>
      </c>
      <c r="L52">
        <f>COUNTIF(Table1[Price ($)],"&lt;100")</f>
        <v>11</v>
      </c>
    </row>
    <row r="53" spans="2:12" x14ac:dyDescent="0.3">
      <c r="B53" s="1"/>
    </row>
    <row r="54" spans="2:12" ht="15.6" x14ac:dyDescent="0.3">
      <c r="B54" s="3" t="s">
        <v>96</v>
      </c>
    </row>
    <row r="55" spans="2:12" ht="15.6" x14ac:dyDescent="0.3">
      <c r="C55" s="2" t="s">
        <v>95</v>
      </c>
    </row>
    <row r="56" spans="2:12" ht="15.6" x14ac:dyDescent="0.3">
      <c r="C56" s="2" t="s">
        <v>94</v>
      </c>
    </row>
    <row r="57" spans="2:12" ht="15.6" x14ac:dyDescent="0.3">
      <c r="C57" s="2" t="s">
        <v>93</v>
      </c>
    </row>
    <row r="58" spans="2:12" x14ac:dyDescent="0.3">
      <c r="B5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sharathu</dc:creator>
  <cp:lastModifiedBy>sharath sharathu</cp:lastModifiedBy>
  <dcterms:created xsi:type="dcterms:W3CDTF">2026-10-03T10:21:52Z</dcterms:created>
  <dcterms:modified xsi:type="dcterms:W3CDTF">2026-10-04T09:38:18Z</dcterms:modified>
</cp:coreProperties>
</file>